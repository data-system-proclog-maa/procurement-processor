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github\procurement-processor\data\reference\"/>
    </mc:Choice>
  </mc:AlternateContent>
  <xr:revisionPtr revIDLastSave="0" documentId="13_ncr:1_{2789205C-54E7-4FD9-83C4-D3F29CD4D0B5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RFM" sheetId="1" r:id="rId1"/>
    <sheet name="Sheet1" sheetId="5" r:id="rId2"/>
    <sheet name="PO" sheetId="2" r:id="rId3"/>
    <sheet name="Urgent" sheetId="3" r:id="rId4"/>
    <sheet name="Urgent PO" sheetId="4" r:id="rId5"/>
  </sheets>
  <definedNames>
    <definedName name="_xlnm._FilterDatabase" localSheetId="0" hidden="1">RFM!$A$1:$D$99</definedName>
    <definedName name="_xlnm._FilterDatabase" localSheetId="1" hidden="1">Sheet1!$A$1:$B$108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08" i="5" l="1"/>
  <c r="B107" i="5"/>
  <c r="B106" i="5"/>
  <c r="B105" i="5"/>
  <c r="B104" i="5"/>
  <c r="B103" i="5"/>
  <c r="B102" i="5"/>
  <c r="B101" i="5"/>
  <c r="B100" i="5"/>
  <c r="B99" i="5"/>
  <c r="B98" i="5"/>
  <c r="B97" i="5"/>
  <c r="B96" i="5"/>
  <c r="B95" i="5"/>
  <c r="B94" i="5"/>
  <c r="B93" i="5"/>
  <c r="B92" i="5"/>
  <c r="B91" i="5"/>
  <c r="B90" i="5"/>
  <c r="B89" i="5"/>
  <c r="B88" i="5"/>
  <c r="B87" i="5"/>
  <c r="B86" i="5"/>
  <c r="B85" i="5"/>
  <c r="B84" i="5"/>
  <c r="B83" i="5"/>
  <c r="B82" i="5"/>
  <c r="B81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B63" i="5"/>
  <c r="B62" i="5"/>
  <c r="B61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  <c r="B4" i="5"/>
  <c r="B3" i="5"/>
  <c r="B2" i="5"/>
  <c r="G2" i="1"/>
  <c r="F6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5" i="1"/>
  <c r="F4" i="1"/>
  <c r="F3" i="1"/>
  <c r="F2" i="1"/>
</calcChain>
</file>

<file path=xl/sharedStrings.xml><?xml version="1.0" encoding="utf-8"?>
<sst xmlns="http://schemas.openxmlformats.org/spreadsheetml/2006/main" count="398" uniqueCount="206">
  <si>
    <t>Requisition Number</t>
  </si>
  <si>
    <t>Updated Requisition Approved Date</t>
  </si>
  <si>
    <t>Updated Requisition Required Date</t>
  </si>
  <si>
    <t>Background Update</t>
  </si>
  <si>
    <t>6081-13496</t>
  </si>
  <si>
    <t>6245-13856</t>
  </si>
  <si>
    <t>Perubahan Spek 50 kva -&gt; 60 kva</t>
  </si>
  <si>
    <t>6410-15066</t>
  </si>
  <si>
    <t>Pembetulan Kategori</t>
  </si>
  <si>
    <t>6075-15695</t>
  </si>
  <si>
    <t>TLD Baru dikirimkan 1 April</t>
  </si>
  <si>
    <t>6410-15631</t>
  </si>
  <si>
    <t>Spek baru dikirimkan user</t>
  </si>
  <si>
    <t>6075-16290</t>
  </si>
  <si>
    <t>TLD Baru dikirim akhir bulan</t>
  </si>
  <si>
    <t>5829-16429</t>
  </si>
  <si>
    <t>Konfirmasi Spek baru 25/4/25</t>
  </si>
  <si>
    <t>5829-16430</t>
  </si>
  <si>
    <t>6244-16565</t>
  </si>
  <si>
    <t>Menunggu PN dari User</t>
  </si>
  <si>
    <t>5971-16832</t>
  </si>
  <si>
    <t xml:space="preserve">Confirm dari tech 5 may </t>
  </si>
  <si>
    <t>6217-16831</t>
  </si>
  <si>
    <t>5983-16830</t>
  </si>
  <si>
    <t>6404-16833</t>
  </si>
  <si>
    <t>5890-17288</t>
  </si>
  <si>
    <t>Confirm spesifikasi 26/5</t>
  </si>
  <si>
    <t>6222-17409</t>
  </si>
  <si>
    <t>Barang baru diambil</t>
  </si>
  <si>
    <t>6410-17565</t>
  </si>
  <si>
    <t>Ralat spek polymer</t>
  </si>
  <si>
    <t>6224-17560</t>
  </si>
  <si>
    <t xml:space="preserve">5798-17270 </t>
  </si>
  <si>
    <t>Konfirmasi dari user tangal 30/5/2025</t>
  </si>
  <si>
    <t>6410-17561</t>
  </si>
  <si>
    <t>Konfirmasi spek dari user Pak Nurmanto</t>
  </si>
  <si>
    <t>6189-17412</t>
  </si>
  <si>
    <t>Konfirmasi spesifikasi item</t>
  </si>
  <si>
    <t>6075-17872</t>
  </si>
  <si>
    <t>Konfirmasi User</t>
  </si>
  <si>
    <t>6074-17865</t>
  </si>
  <si>
    <t>6015-17917</t>
  </si>
  <si>
    <t>Konfirmasi User untuk item no 3 &amp; 4</t>
  </si>
  <si>
    <t>6564-18425</t>
  </si>
  <si>
    <t xml:space="preserve">Konfirmasi spek hardisk </t>
  </si>
  <si>
    <t>5886-18408</t>
  </si>
  <si>
    <t>Spec harga kendari</t>
  </si>
  <si>
    <t>6090-18448</t>
  </si>
  <si>
    <t>Confirm harga</t>
  </si>
  <si>
    <t>5886-18639</t>
  </si>
  <si>
    <t>Konfirmasi pindah ke Mba Puji</t>
  </si>
  <si>
    <t>6115-18443</t>
  </si>
  <si>
    <t>Konfirmasi desain baju</t>
  </si>
  <si>
    <t>5890-18761</t>
  </si>
  <si>
    <t>Konfirmasi user</t>
  </si>
  <si>
    <t>6090-18730</t>
  </si>
  <si>
    <t>konfirmasi spek user</t>
  </si>
  <si>
    <t>6410-18359</t>
  </si>
  <si>
    <t>konfirmasi spek dari user</t>
  </si>
  <si>
    <t>6022-18745</t>
  </si>
  <si>
    <t xml:space="preserve">tunggu PO oli </t>
  </si>
  <si>
    <t>5886-18681</t>
  </si>
  <si>
    <t>konfirmasi harga dr user</t>
  </si>
  <si>
    <t>5798-18804</t>
  </si>
  <si>
    <t>User salah harga</t>
  </si>
  <si>
    <t>6063-18716</t>
  </si>
  <si>
    <t>Revisi PO Kompensasi, diskon dari vendor</t>
  </si>
  <si>
    <t>6611-18919</t>
  </si>
  <si>
    <t xml:space="preserve">konfirmasi Spek </t>
  </si>
  <si>
    <t>6611-18923</t>
  </si>
  <si>
    <t>6052-18832</t>
  </si>
  <si>
    <t>6013-19377</t>
  </si>
  <si>
    <t>Ubah dari fix ke general</t>
  </si>
  <si>
    <t>6557-19087</t>
  </si>
  <si>
    <t>konfirmasi user</t>
  </si>
  <si>
    <t>6080-19143</t>
  </si>
  <si>
    <t>cari spek dan indent</t>
  </si>
  <si>
    <t>6082-19181</t>
  </si>
  <si>
    <t>user belum fixkan spek</t>
  </si>
  <si>
    <t>5798-18769</t>
  </si>
  <si>
    <t>PO Number</t>
  </si>
  <si>
    <t>PO Approval Date</t>
  </si>
  <si>
    <t>Urgent</t>
  </si>
  <si>
    <t>6557-17957</t>
  </si>
  <si>
    <t>6052-18833</t>
  </si>
  <si>
    <t>6115-19283</t>
  </si>
  <si>
    <t>konfirmasi vendor</t>
  </si>
  <si>
    <t>6611-19215</t>
  </si>
  <si>
    <t>6611-19216</t>
  </si>
  <si>
    <t>6052-19185</t>
  </si>
  <si>
    <t>konfirmasi spek</t>
  </si>
  <si>
    <t>Tanggal Request</t>
  </si>
  <si>
    <t>PIC Purchasing</t>
  </si>
  <si>
    <t>Description</t>
  </si>
  <si>
    <t>Category</t>
  </si>
  <si>
    <t>Harness</t>
  </si>
  <si>
    <t>Plastik Wrap</t>
  </si>
  <si>
    <t>konfirmasi user &amp; pemindahan item ke site</t>
  </si>
  <si>
    <t>6557-19576</t>
  </si>
  <si>
    <t>konfirmasi detail spek</t>
  </si>
  <si>
    <t>Linda Permata Sari</t>
  </si>
  <si>
    <t>5886-19321</t>
  </si>
  <si>
    <t xml:space="preserve">konfirmasi spek </t>
  </si>
  <si>
    <t>Puji Astuti</t>
  </si>
  <si>
    <t>6161-19824</t>
  </si>
  <si>
    <t>update required date</t>
  </si>
  <si>
    <t>Seragam</t>
  </si>
  <si>
    <t>6090-19706</t>
  </si>
  <si>
    <t>5864-19320</t>
  </si>
  <si>
    <t>konfirmasi part tidak semua dibeli</t>
  </si>
  <si>
    <t>6052-19902</t>
  </si>
  <si>
    <t>konfirmasi user item ready spek</t>
  </si>
  <si>
    <t>6052-19764</t>
  </si>
  <si>
    <t>5798-19566</t>
  </si>
  <si>
    <t>konfirmasi item</t>
  </si>
  <si>
    <t>6710-19818</t>
  </si>
  <si>
    <t xml:space="preserve">pembukaan dept </t>
  </si>
  <si>
    <t>Rizal Agus</t>
  </si>
  <si>
    <t>6591-19714</t>
  </si>
  <si>
    <t>konfirm user</t>
  </si>
  <si>
    <t>5886-19661</t>
  </si>
  <si>
    <t>5983-20047</t>
  </si>
  <si>
    <t>6217-20051</t>
  </si>
  <si>
    <t>6612-20111</t>
  </si>
  <si>
    <t>6404-20052</t>
  </si>
  <si>
    <t>konfirmasi full item dr user</t>
  </si>
  <si>
    <t>5798-20110</t>
  </si>
  <si>
    <t>konfirmasi dari vendor</t>
  </si>
  <si>
    <t>6557-19971</t>
  </si>
  <si>
    <t>konfirmasi dari user</t>
  </si>
  <si>
    <t>6069-19814</t>
  </si>
  <si>
    <t>Agus</t>
  </si>
  <si>
    <t>6052-20085</t>
  </si>
  <si>
    <t>konfirmasi troli dari user</t>
  </si>
  <si>
    <t>5886-20292</t>
  </si>
  <si>
    <t>6096-19614</t>
  </si>
  <si>
    <t>finalisasi dari user</t>
  </si>
  <si>
    <t>6611-20184</t>
  </si>
  <si>
    <t>6611-19864</t>
  </si>
  <si>
    <t>6611-19865</t>
  </si>
  <si>
    <t>6075-20194</t>
  </si>
  <si>
    <t>finalisasi dari user, salah kasih info</t>
  </si>
  <si>
    <t>6013-20401</t>
  </si>
  <si>
    <t>6013-20310</t>
  </si>
  <si>
    <t>karoseri menunggu quotation dr vendor</t>
  </si>
  <si>
    <t>indent part dan ready</t>
  </si>
  <si>
    <t>6066-20494</t>
  </si>
  <si>
    <t>5914-20414</t>
  </si>
  <si>
    <t>finalisasi</t>
  </si>
  <si>
    <t>6074-20395</t>
  </si>
  <si>
    <t>707/CB/092025</t>
  </si>
  <si>
    <t>278/CB/072025</t>
  </si>
  <si>
    <t>277/CB/072025</t>
  </si>
  <si>
    <t>707/CB/042025</t>
  </si>
  <si>
    <t>309/CB/032025</t>
  </si>
  <si>
    <t>225/CB/012025</t>
  </si>
  <si>
    <t>223/CB/012025</t>
  </si>
  <si>
    <t>URGENT_FINALFORLOGBOOK</t>
  </si>
  <si>
    <t>Normal</t>
  </si>
  <si>
    <t>6635-20605</t>
  </si>
  <si>
    <t>RFM tambahan, menunggu aktual pengujian konfirmasi clear</t>
  </si>
  <si>
    <t>6612-20609</t>
  </si>
  <si>
    <t>5940-20562</t>
  </si>
  <si>
    <t>Finalisasi user 31 oct 2025</t>
  </si>
  <si>
    <t>6404-20607</t>
  </si>
  <si>
    <t>Finalisasi User, menunggu aktual clear pengujian</t>
  </si>
  <si>
    <t>Finalisasi RFM 20 Oktober 2025</t>
  </si>
  <si>
    <t>Finalisasi RFM 20 Oktober 2025. Konfrimasi User.</t>
  </si>
  <si>
    <t>6062-20065</t>
  </si>
  <si>
    <t>Finalisasi RFM meyesuaikan tgl Penawaran Vendor Per Periode. PO Partial untuk 2 Periode</t>
  </si>
  <si>
    <t>6596-20514</t>
  </si>
  <si>
    <t xml:space="preserve"> Konfrimasi User dan Vendor</t>
  </si>
  <si>
    <t>Finaliasi RFM 21 Oktober 2025. Ganti Spec user karena sudah discontinue</t>
  </si>
  <si>
    <t>5798-20496</t>
  </si>
  <si>
    <t>Confirm user, Finalisasi RFM 16 Oct 2025</t>
  </si>
  <si>
    <t>6080-20335</t>
  </si>
  <si>
    <t>Finalisasi rfm 20 Oktober</t>
  </si>
  <si>
    <t>6381-20495</t>
  </si>
  <si>
    <t>6607-20404</t>
  </si>
  <si>
    <t>5996-20400</t>
  </si>
  <si>
    <t>5864-20411</t>
  </si>
  <si>
    <t>5886-20446</t>
  </si>
  <si>
    <t>6020-20185</t>
  </si>
  <si>
    <t>Finalisasi RFM 13/10/2025. TLD tiba Jakarta 13 Oktober 2025.</t>
  </si>
  <si>
    <t>6400-20383</t>
  </si>
  <si>
    <t>Final RFM 13 Oktober 2025, karena ganti spek yang lebih kecil.</t>
  </si>
  <si>
    <t>Stheven Immanuel</t>
  </si>
  <si>
    <t>6585-19868</t>
  </si>
  <si>
    <t>Finalisasi RFM 10/10/25</t>
  </si>
  <si>
    <t>Rona Justhafist</t>
  </si>
  <si>
    <t>6584-19867</t>
  </si>
  <si>
    <t>Finalisasi RFM 09/10/25</t>
  </si>
  <si>
    <t>Victo</t>
  </si>
  <si>
    <t>6072-19691</t>
  </si>
  <si>
    <t>baru terima fix perubahan parameter 09/10/2025</t>
  </si>
  <si>
    <t>Irwan</t>
  </si>
  <si>
    <t>6380-20382</t>
  </si>
  <si>
    <t>Hasil Koordinasi user terhitung 10 Oktober 2025</t>
  </si>
  <si>
    <t>6115-20750</t>
  </si>
  <si>
    <t>Final konfirmasi user di tanggal 31 Oktober 2025 yaa karena beda spec lagi yang diberikan oleh user</t>
  </si>
  <si>
    <t>6595-20897</t>
  </si>
  <si>
    <t>6681-20788</t>
  </si>
  <si>
    <t>6596-20926</t>
  </si>
  <si>
    <t xml:space="preserve">pec lama seperi di rfm sudah tidak ada sehingga pakai spec persamaan </t>
  </si>
  <si>
    <t>6097-20482</t>
  </si>
  <si>
    <t>BAST baru dapat dari 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</si>
</sst>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" x14ac:knownFonts="1"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3"/>
  <sheetViews>
    <sheetView tabSelected="1" topLeftCell="A68" zoomScaleNormal="100" workbookViewId="0">
      <selection activeCell="B104" sqref="B104"/>
    </sheetView>
  </sheetViews>
  <sheetFormatPr defaultColWidth="8.7109375" defaultRowHeight="15" customHeight="1" x14ac:dyDescent="0.25"/>
  <cols>
    <col min="1" max="1" width="19.140625" customWidth="1"/>
    <col min="2" max="2" width="35.85546875" style="3" customWidth="1"/>
    <col min="3" max="3" width="35.28515625" style="1" customWidth="1"/>
    <col min="4" max="4" width="40" bestFit="1" customWidth="1"/>
    <col min="5" max="5" width="15.5703125" style="3" bestFit="1" customWidth="1"/>
    <col min="6" max="6" width="14" bestFit="1" customWidth="1"/>
    <col min="7" max="7" width="16.42578125" bestFit="1" customWidth="1"/>
    <col min="8" max="8" width="8.85546875" bestFit="1" customWidth="1"/>
  </cols>
  <sheetData>
    <row r="1" spans="1:8" x14ac:dyDescent="0.25">
      <c r="A1" t="s">
        <v>0</v>
      </c>
      <c r="B1" s="3" t="s">
        <v>1</v>
      </c>
      <c r="C1" s="1" t="s">
        <v>2</v>
      </c>
      <c r="D1" t="s">
        <v>3</v>
      </c>
      <c r="E1" s="3" t="s">
        <v>91</v>
      </c>
      <c r="F1" t="s">
        <v>92</v>
      </c>
      <c r="G1" t="s">
        <v>93</v>
      </c>
      <c r="H1" t="s">
        <v>94</v>
      </c>
    </row>
    <row r="2" spans="1:8" x14ac:dyDescent="0.25">
      <c r="A2" t="s">
        <v>4</v>
      </c>
      <c r="B2" s="3">
        <v>45660</v>
      </c>
      <c r="F2" t="e">
        <f>_xlfn.XLOOKUP(A2,#REF!,#REF!)</f>
        <v>#REF!</v>
      </c>
      <c r="G2" t="e">
        <f>_xlfn.XLOOKUP(A2,#REF!,#REF!)</f>
        <v>#REF!</v>
      </c>
    </row>
    <row r="3" spans="1:8" x14ac:dyDescent="0.25">
      <c r="A3" t="s">
        <v>5</v>
      </c>
      <c r="B3" s="3">
        <v>45693</v>
      </c>
      <c r="D3" t="s">
        <v>6</v>
      </c>
      <c r="F3" t="e">
        <f>_xlfn.XLOOKUP(A3,#REF!,#REF!)</f>
        <v>#REF!</v>
      </c>
    </row>
    <row r="4" spans="1:8" x14ac:dyDescent="0.25">
      <c r="A4" t="s">
        <v>7</v>
      </c>
      <c r="B4" s="3">
        <v>45712</v>
      </c>
      <c r="D4" t="s">
        <v>8</v>
      </c>
      <c r="F4" t="e">
        <f>_xlfn.XLOOKUP(A4,#REF!,#REF!)</f>
        <v>#REF!</v>
      </c>
    </row>
    <row r="5" spans="1:8" x14ac:dyDescent="0.25">
      <c r="A5" t="s">
        <v>9</v>
      </c>
      <c r="B5" s="3">
        <v>45739</v>
      </c>
      <c r="D5" t="s">
        <v>10</v>
      </c>
      <c r="F5" t="e">
        <f>_xlfn.XLOOKUP(A5,#REF!,#REF!)</f>
        <v>#REF!</v>
      </c>
    </row>
    <row r="6" spans="1:8" x14ac:dyDescent="0.25">
      <c r="A6" t="s">
        <v>11</v>
      </c>
      <c r="B6" s="3">
        <v>45761</v>
      </c>
      <c r="D6" t="s">
        <v>12</v>
      </c>
      <c r="F6" t="e">
        <f>_xlfn.XLOOKUP(A6,#REF!,#REF!)</f>
        <v>#REF!</v>
      </c>
    </row>
    <row r="7" spans="1:8" x14ac:dyDescent="0.25">
      <c r="A7" t="s">
        <v>13</v>
      </c>
      <c r="B7" s="3">
        <v>45776</v>
      </c>
      <c r="D7" t="s">
        <v>14</v>
      </c>
      <c r="F7" t="e">
        <f>_xlfn.XLOOKUP(A7,#REF!,#REF!)</f>
        <v>#REF!</v>
      </c>
    </row>
    <row r="8" spans="1:8" x14ac:dyDescent="0.25">
      <c r="A8" t="s">
        <v>15</v>
      </c>
      <c r="B8" s="3">
        <v>45772</v>
      </c>
      <c r="D8" t="s">
        <v>16</v>
      </c>
      <c r="F8" t="e">
        <f>_xlfn.XLOOKUP(A8,#REF!,#REF!)</f>
        <v>#REF!</v>
      </c>
    </row>
    <row r="9" spans="1:8" x14ac:dyDescent="0.25">
      <c r="A9" t="s">
        <v>17</v>
      </c>
      <c r="B9" s="3">
        <v>45772</v>
      </c>
      <c r="D9" t="s">
        <v>16</v>
      </c>
      <c r="F9" t="e">
        <f>_xlfn.XLOOKUP(A9,#REF!,#REF!)</f>
        <v>#REF!</v>
      </c>
    </row>
    <row r="10" spans="1:8" x14ac:dyDescent="0.25">
      <c r="A10" t="s">
        <v>18</v>
      </c>
      <c r="B10" s="3">
        <v>45795</v>
      </c>
      <c r="D10" t="s">
        <v>19</v>
      </c>
      <c r="F10" t="e">
        <f>_xlfn.XLOOKUP(A10,#REF!,#REF!)</f>
        <v>#REF!</v>
      </c>
    </row>
    <row r="11" spans="1:8" ht="15" customHeight="1" x14ac:dyDescent="0.25">
      <c r="A11" t="s">
        <v>20</v>
      </c>
      <c r="B11" s="3">
        <v>45782</v>
      </c>
      <c r="D11" t="s">
        <v>21</v>
      </c>
      <c r="F11" t="e">
        <f>_xlfn.XLOOKUP(A11,#REF!,#REF!)</f>
        <v>#REF!</v>
      </c>
    </row>
    <row r="12" spans="1:8" ht="15" customHeight="1" x14ac:dyDescent="0.25">
      <c r="A12" t="s">
        <v>22</v>
      </c>
      <c r="B12" s="3">
        <v>45782</v>
      </c>
      <c r="D12" t="s">
        <v>21</v>
      </c>
      <c r="F12" t="e">
        <f>_xlfn.XLOOKUP(A12,#REF!,#REF!)</f>
        <v>#REF!</v>
      </c>
    </row>
    <row r="13" spans="1:8" ht="15" customHeight="1" x14ac:dyDescent="0.25">
      <c r="A13" t="s">
        <v>23</v>
      </c>
      <c r="B13" s="3">
        <v>45782</v>
      </c>
      <c r="D13" t="s">
        <v>21</v>
      </c>
      <c r="F13" t="e">
        <f>_xlfn.XLOOKUP(A13,#REF!,#REF!)</f>
        <v>#REF!</v>
      </c>
    </row>
    <row r="14" spans="1:8" ht="15" customHeight="1" x14ac:dyDescent="0.25">
      <c r="A14" t="s">
        <v>24</v>
      </c>
      <c r="B14" s="3">
        <v>45782</v>
      </c>
      <c r="D14" t="s">
        <v>21</v>
      </c>
      <c r="F14" t="e">
        <f>_xlfn.XLOOKUP(A14,#REF!,#REF!)</f>
        <v>#REF!</v>
      </c>
    </row>
    <row r="15" spans="1:8" ht="15" customHeight="1" x14ac:dyDescent="0.25">
      <c r="A15" t="s">
        <v>25</v>
      </c>
      <c r="B15" s="3">
        <v>45803</v>
      </c>
      <c r="C15" s="1">
        <v>45806</v>
      </c>
      <c r="D15" t="s">
        <v>26</v>
      </c>
      <c r="F15" t="e">
        <f>_xlfn.XLOOKUP(A15,#REF!,#REF!)</f>
        <v>#REF!</v>
      </c>
    </row>
    <row r="16" spans="1:8" ht="15" customHeight="1" x14ac:dyDescent="0.25">
      <c r="A16" t="s">
        <v>27</v>
      </c>
      <c r="B16" s="3">
        <v>45804</v>
      </c>
      <c r="D16" t="s">
        <v>28</v>
      </c>
      <c r="F16" t="e">
        <f>_xlfn.XLOOKUP(A16,#REF!,#REF!)</f>
        <v>#REF!</v>
      </c>
    </row>
    <row r="17" spans="1:6" ht="15" customHeight="1" x14ac:dyDescent="0.25">
      <c r="A17" t="s">
        <v>29</v>
      </c>
      <c r="B17" s="3">
        <v>45810</v>
      </c>
      <c r="D17" t="s">
        <v>30</v>
      </c>
      <c r="F17" t="e">
        <f>_xlfn.XLOOKUP(A17,#REF!,#REF!)</f>
        <v>#REF!</v>
      </c>
    </row>
    <row r="18" spans="1:6" ht="15" customHeight="1" x14ac:dyDescent="0.25">
      <c r="A18" t="s">
        <v>31</v>
      </c>
      <c r="B18" s="3">
        <v>45811</v>
      </c>
      <c r="D18" t="s">
        <v>12</v>
      </c>
      <c r="F18" t="e">
        <f>_xlfn.XLOOKUP(A18,#REF!,#REF!)</f>
        <v>#REF!</v>
      </c>
    </row>
    <row r="19" spans="1:6" ht="15" customHeight="1" x14ac:dyDescent="0.25">
      <c r="A19" s="2" t="s">
        <v>32</v>
      </c>
      <c r="B19" s="3">
        <v>45807</v>
      </c>
      <c r="D19" t="s">
        <v>33</v>
      </c>
      <c r="F19" t="e">
        <f>_xlfn.XLOOKUP(A19,#REF!,#REF!)</f>
        <v>#REF!</v>
      </c>
    </row>
    <row r="20" spans="1:6" ht="15" customHeight="1" x14ac:dyDescent="0.25">
      <c r="A20" t="s">
        <v>34</v>
      </c>
      <c r="B20" s="3">
        <v>45813</v>
      </c>
      <c r="D20" t="s">
        <v>35</v>
      </c>
      <c r="F20" t="e">
        <f>_xlfn.XLOOKUP(A20,#REF!,#REF!)</f>
        <v>#REF!</v>
      </c>
    </row>
    <row r="21" spans="1:6" ht="15" customHeight="1" x14ac:dyDescent="0.25">
      <c r="A21" t="s">
        <v>36</v>
      </c>
      <c r="B21" s="3">
        <v>45821</v>
      </c>
      <c r="D21" t="s">
        <v>37</v>
      </c>
      <c r="F21" t="e">
        <f>_xlfn.XLOOKUP(A21,#REF!,#REF!)</f>
        <v>#REF!</v>
      </c>
    </row>
    <row r="22" spans="1:6" ht="15" customHeight="1" x14ac:dyDescent="0.25">
      <c r="A22" t="s">
        <v>38</v>
      </c>
      <c r="B22" s="3">
        <v>45827</v>
      </c>
      <c r="D22" t="s">
        <v>39</v>
      </c>
      <c r="F22" t="e">
        <f>_xlfn.XLOOKUP(A22,#REF!,#REF!)</f>
        <v>#REF!</v>
      </c>
    </row>
    <row r="23" spans="1:6" ht="15" customHeight="1" x14ac:dyDescent="0.25">
      <c r="A23" t="s">
        <v>40</v>
      </c>
      <c r="B23" s="3">
        <v>45827</v>
      </c>
      <c r="D23" t="s">
        <v>39</v>
      </c>
      <c r="F23" t="e">
        <f>_xlfn.XLOOKUP(A23,#REF!,#REF!)</f>
        <v>#REF!</v>
      </c>
    </row>
    <row r="24" spans="1:6" ht="15" customHeight="1" x14ac:dyDescent="0.25">
      <c r="A24" t="s">
        <v>41</v>
      </c>
      <c r="B24" s="3">
        <v>45845</v>
      </c>
      <c r="D24" t="s">
        <v>42</v>
      </c>
      <c r="F24" t="e">
        <f>_xlfn.XLOOKUP(A24,#REF!,#REF!)</f>
        <v>#REF!</v>
      </c>
    </row>
    <row r="25" spans="1:6" ht="15" customHeight="1" x14ac:dyDescent="0.25">
      <c r="A25" t="s">
        <v>43</v>
      </c>
      <c r="B25" s="3">
        <v>45855</v>
      </c>
      <c r="D25" t="s">
        <v>44</v>
      </c>
      <c r="F25" t="e">
        <f>_xlfn.XLOOKUP(A25,#REF!,#REF!)</f>
        <v>#REF!</v>
      </c>
    </row>
    <row r="26" spans="1:6" ht="15" customHeight="1" x14ac:dyDescent="0.25">
      <c r="A26" t="s">
        <v>45</v>
      </c>
      <c r="B26" s="3">
        <v>45859</v>
      </c>
      <c r="D26" t="s">
        <v>46</v>
      </c>
      <c r="F26" t="e">
        <f>_xlfn.XLOOKUP(A26,#REF!,#REF!)</f>
        <v>#REF!</v>
      </c>
    </row>
    <row r="27" spans="1:6" ht="15" customHeight="1" x14ac:dyDescent="0.25">
      <c r="A27" t="s">
        <v>47</v>
      </c>
      <c r="B27" s="3">
        <v>45862</v>
      </c>
      <c r="D27" t="s">
        <v>48</v>
      </c>
      <c r="F27" t="e">
        <f>_xlfn.XLOOKUP(A27,#REF!,#REF!)</f>
        <v>#REF!</v>
      </c>
    </row>
    <row r="28" spans="1:6" ht="15" customHeight="1" x14ac:dyDescent="0.25">
      <c r="A28" t="s">
        <v>49</v>
      </c>
      <c r="B28" s="3">
        <v>45865</v>
      </c>
      <c r="D28" t="s">
        <v>50</v>
      </c>
      <c r="F28" t="e">
        <f>_xlfn.XLOOKUP(A28,#REF!,#REF!)</f>
        <v>#REF!</v>
      </c>
    </row>
    <row r="29" spans="1:6" ht="15" customHeight="1" x14ac:dyDescent="0.25">
      <c r="A29" t="s">
        <v>51</v>
      </c>
      <c r="B29" s="3">
        <v>45867</v>
      </c>
      <c r="D29" t="s">
        <v>52</v>
      </c>
      <c r="F29" t="e">
        <f>_xlfn.XLOOKUP(A29,#REF!,#REF!)</f>
        <v>#REF!</v>
      </c>
    </row>
    <row r="30" spans="1:6" ht="15" customHeight="1" x14ac:dyDescent="0.25">
      <c r="A30" t="s">
        <v>53</v>
      </c>
      <c r="B30" s="3">
        <v>45867</v>
      </c>
      <c r="D30" t="s">
        <v>54</v>
      </c>
      <c r="F30" t="e">
        <f>_xlfn.XLOOKUP(A30,#REF!,#REF!)</f>
        <v>#REF!</v>
      </c>
    </row>
    <row r="31" spans="1:6" ht="15" customHeight="1" x14ac:dyDescent="0.25">
      <c r="A31" t="s">
        <v>55</v>
      </c>
      <c r="B31" s="3">
        <v>45867</v>
      </c>
      <c r="D31" t="s">
        <v>56</v>
      </c>
      <c r="F31" t="e">
        <f>_xlfn.XLOOKUP(A31,#REF!,#REF!)</f>
        <v>#REF!</v>
      </c>
    </row>
    <row r="32" spans="1:6" ht="15" customHeight="1" x14ac:dyDescent="0.25">
      <c r="A32" t="s">
        <v>57</v>
      </c>
      <c r="B32" s="3">
        <v>45868</v>
      </c>
      <c r="D32" t="s">
        <v>58</v>
      </c>
      <c r="F32" t="e">
        <f>_xlfn.XLOOKUP(A32,#REF!,#REF!)</f>
        <v>#REF!</v>
      </c>
    </row>
    <row r="33" spans="1:7" ht="15" customHeight="1" x14ac:dyDescent="0.25">
      <c r="A33" t="s">
        <v>59</v>
      </c>
      <c r="B33" s="3">
        <v>45868</v>
      </c>
      <c r="D33" t="s">
        <v>60</v>
      </c>
      <c r="F33" t="e">
        <f>_xlfn.XLOOKUP(A33,#REF!,#REF!)</f>
        <v>#REF!</v>
      </c>
    </row>
    <row r="34" spans="1:7" ht="15" customHeight="1" x14ac:dyDescent="0.25">
      <c r="A34" t="s">
        <v>61</v>
      </c>
      <c r="B34" s="3">
        <v>45869</v>
      </c>
      <c r="D34" t="s">
        <v>62</v>
      </c>
      <c r="F34" t="e">
        <f>_xlfn.XLOOKUP(A34,#REF!,#REF!)</f>
        <v>#REF!</v>
      </c>
    </row>
    <row r="35" spans="1:7" ht="15" customHeight="1" x14ac:dyDescent="0.25">
      <c r="A35" t="s">
        <v>63</v>
      </c>
      <c r="B35" s="3">
        <v>45870</v>
      </c>
      <c r="D35" t="s">
        <v>64</v>
      </c>
      <c r="F35" t="e">
        <f>_xlfn.XLOOKUP(A35,#REF!,#REF!)</f>
        <v>#REF!</v>
      </c>
    </row>
    <row r="36" spans="1:7" ht="15" customHeight="1" x14ac:dyDescent="0.25">
      <c r="A36" t="s">
        <v>65</v>
      </c>
      <c r="B36" s="3">
        <v>45864</v>
      </c>
      <c r="D36" t="s">
        <v>66</v>
      </c>
      <c r="F36" t="e">
        <f>_xlfn.XLOOKUP(A36,#REF!,#REF!)</f>
        <v>#REF!</v>
      </c>
    </row>
    <row r="37" spans="1:7" ht="15" customHeight="1" x14ac:dyDescent="0.25">
      <c r="A37" t="s">
        <v>67</v>
      </c>
      <c r="B37" s="3">
        <v>45877</v>
      </c>
      <c r="D37" t="s">
        <v>68</v>
      </c>
      <c r="F37" t="e">
        <f>_xlfn.XLOOKUP(A37,#REF!,#REF!)</f>
        <v>#REF!</v>
      </c>
    </row>
    <row r="38" spans="1:7" ht="15" customHeight="1" x14ac:dyDescent="0.25">
      <c r="A38" t="s">
        <v>69</v>
      </c>
      <c r="B38" s="3">
        <v>45877</v>
      </c>
      <c r="D38" t="s">
        <v>68</v>
      </c>
      <c r="F38" t="e">
        <f>_xlfn.XLOOKUP(A38,#REF!,#REF!)</f>
        <v>#REF!</v>
      </c>
    </row>
    <row r="39" spans="1:7" ht="15" customHeight="1" x14ac:dyDescent="0.25">
      <c r="A39" t="s">
        <v>70</v>
      </c>
      <c r="B39" s="3">
        <v>45874</v>
      </c>
      <c r="D39" t="s">
        <v>68</v>
      </c>
      <c r="F39" t="e">
        <f>_xlfn.XLOOKUP(A39,#REF!,#REF!)</f>
        <v>#REF!</v>
      </c>
    </row>
    <row r="40" spans="1:7" ht="15" customHeight="1" x14ac:dyDescent="0.25">
      <c r="A40" t="s">
        <v>71</v>
      </c>
      <c r="B40" s="3">
        <v>45889</v>
      </c>
      <c r="D40" t="s">
        <v>72</v>
      </c>
      <c r="F40" t="e">
        <f>_xlfn.XLOOKUP(A40,#REF!,#REF!)</f>
        <v>#REF!</v>
      </c>
    </row>
    <row r="41" spans="1:7" ht="15" customHeight="1" x14ac:dyDescent="0.25">
      <c r="A41" t="s">
        <v>73</v>
      </c>
      <c r="B41" s="3">
        <v>45889</v>
      </c>
      <c r="D41" t="s">
        <v>74</v>
      </c>
      <c r="F41" t="e">
        <f>_xlfn.XLOOKUP(A41,#REF!,#REF!)</f>
        <v>#REF!</v>
      </c>
    </row>
    <row r="42" spans="1:7" ht="15" customHeight="1" x14ac:dyDescent="0.25">
      <c r="A42" t="s">
        <v>75</v>
      </c>
      <c r="B42" s="3">
        <v>45890</v>
      </c>
      <c r="D42" t="s">
        <v>76</v>
      </c>
      <c r="F42" t="e">
        <f>_xlfn.XLOOKUP(A42,#REF!,#REF!)</f>
        <v>#REF!</v>
      </c>
    </row>
    <row r="43" spans="1:7" ht="15" customHeight="1" x14ac:dyDescent="0.25">
      <c r="A43" t="s">
        <v>77</v>
      </c>
      <c r="B43" s="3">
        <v>45891</v>
      </c>
      <c r="D43" t="s">
        <v>78</v>
      </c>
      <c r="F43" t="e">
        <f>_xlfn.XLOOKUP(A43,#REF!,#REF!)</f>
        <v>#REF!</v>
      </c>
    </row>
    <row r="44" spans="1:7" ht="15" customHeight="1" x14ac:dyDescent="0.25">
      <c r="A44" t="s">
        <v>79</v>
      </c>
      <c r="B44" s="3">
        <v>45890</v>
      </c>
      <c r="D44" t="s">
        <v>56</v>
      </c>
      <c r="F44" t="e">
        <f>_xlfn.XLOOKUP(A44,#REF!,#REF!)</f>
        <v>#REF!</v>
      </c>
    </row>
    <row r="45" spans="1:7" ht="15" customHeight="1" x14ac:dyDescent="0.25">
      <c r="A45" t="s">
        <v>84</v>
      </c>
      <c r="B45" s="3">
        <v>45887</v>
      </c>
      <c r="D45" t="s">
        <v>56</v>
      </c>
      <c r="F45" t="e">
        <f>_xlfn.XLOOKUP(A45,#REF!,#REF!)</f>
        <v>#REF!</v>
      </c>
    </row>
    <row r="46" spans="1:7" ht="15" customHeight="1" x14ac:dyDescent="0.25">
      <c r="A46" t="s">
        <v>85</v>
      </c>
      <c r="B46" s="3">
        <v>45890</v>
      </c>
      <c r="D46" t="s">
        <v>86</v>
      </c>
      <c r="F46" t="e">
        <f>_xlfn.XLOOKUP(A46,#REF!,#REF!)</f>
        <v>#REF!</v>
      </c>
    </row>
    <row r="47" spans="1:7" ht="15" customHeight="1" x14ac:dyDescent="0.25">
      <c r="A47" t="s">
        <v>87</v>
      </c>
      <c r="B47" s="3">
        <v>45895</v>
      </c>
      <c r="D47" t="s">
        <v>74</v>
      </c>
      <c r="F47" t="e">
        <f>_xlfn.XLOOKUP(A47,#REF!,#REF!)</f>
        <v>#REF!</v>
      </c>
    </row>
    <row r="48" spans="1:7" ht="15" customHeight="1" x14ac:dyDescent="0.25">
      <c r="A48" t="s">
        <v>88</v>
      </c>
      <c r="B48" s="3">
        <v>45895</v>
      </c>
      <c r="D48" t="s">
        <v>97</v>
      </c>
      <c r="F48" t="e">
        <f>_xlfn.XLOOKUP(A48,#REF!,#REF!)</f>
        <v>#REF!</v>
      </c>
      <c r="G48" t="s">
        <v>96</v>
      </c>
    </row>
    <row r="49" spans="1:7" ht="15" customHeight="1" x14ac:dyDescent="0.25">
      <c r="A49" t="s">
        <v>89</v>
      </c>
      <c r="B49" s="3">
        <v>45897</v>
      </c>
      <c r="D49" t="s">
        <v>90</v>
      </c>
      <c r="F49" t="e">
        <f>_xlfn.XLOOKUP(A49,#REF!,#REF!)</f>
        <v>#REF!</v>
      </c>
      <c r="G49" t="s">
        <v>95</v>
      </c>
    </row>
    <row r="50" spans="1:7" ht="15" customHeight="1" x14ac:dyDescent="0.25">
      <c r="A50" t="s">
        <v>98</v>
      </c>
      <c r="B50" s="3">
        <v>45906</v>
      </c>
      <c r="D50" t="s">
        <v>99</v>
      </c>
      <c r="F50" t="s">
        <v>100</v>
      </c>
    </row>
    <row r="51" spans="1:7" ht="15" customHeight="1" x14ac:dyDescent="0.25">
      <c r="A51" t="s">
        <v>101</v>
      </c>
      <c r="B51" s="3">
        <v>45908</v>
      </c>
      <c r="D51" t="s">
        <v>102</v>
      </c>
      <c r="F51" t="s">
        <v>103</v>
      </c>
    </row>
    <row r="52" spans="1:7" ht="15" customHeight="1" x14ac:dyDescent="0.25">
      <c r="A52" t="s">
        <v>104</v>
      </c>
      <c r="B52" s="3">
        <v>45911</v>
      </c>
      <c r="D52" t="s">
        <v>105</v>
      </c>
      <c r="E52" s="3">
        <v>45911</v>
      </c>
      <c r="F52" t="s">
        <v>103</v>
      </c>
      <c r="G52" t="s">
        <v>106</v>
      </c>
    </row>
    <row r="53" spans="1:7" ht="15" customHeight="1" x14ac:dyDescent="0.25">
      <c r="A53" t="s">
        <v>108</v>
      </c>
      <c r="B53" s="3">
        <v>45919</v>
      </c>
      <c r="D53" t="s">
        <v>109</v>
      </c>
      <c r="F53" t="s">
        <v>103</v>
      </c>
    </row>
    <row r="54" spans="1:7" ht="15" customHeight="1" x14ac:dyDescent="0.25">
      <c r="A54" t="s">
        <v>110</v>
      </c>
      <c r="B54" s="3">
        <v>45918</v>
      </c>
      <c r="D54" t="s">
        <v>111</v>
      </c>
      <c r="F54" t="s">
        <v>103</v>
      </c>
    </row>
    <row r="55" spans="1:7" ht="15" customHeight="1" x14ac:dyDescent="0.25">
      <c r="A55" t="s">
        <v>112</v>
      </c>
      <c r="B55" s="3">
        <v>45922</v>
      </c>
      <c r="D55" t="s">
        <v>90</v>
      </c>
      <c r="F55" t="s">
        <v>103</v>
      </c>
    </row>
    <row r="56" spans="1:7" ht="15" customHeight="1" x14ac:dyDescent="0.25">
      <c r="A56" t="s">
        <v>113</v>
      </c>
      <c r="B56" s="3">
        <v>45925</v>
      </c>
      <c r="D56" t="s">
        <v>114</v>
      </c>
      <c r="F56" t="s">
        <v>103</v>
      </c>
    </row>
    <row r="57" spans="1:7" ht="15" customHeight="1" x14ac:dyDescent="0.25">
      <c r="A57" t="s">
        <v>115</v>
      </c>
      <c r="B57" s="3">
        <v>45924</v>
      </c>
      <c r="D57" t="s">
        <v>116</v>
      </c>
      <c r="F57" t="s">
        <v>117</v>
      </c>
    </row>
    <row r="58" spans="1:7" ht="15" customHeight="1" x14ac:dyDescent="0.25">
      <c r="A58" t="s">
        <v>118</v>
      </c>
      <c r="B58" s="3">
        <v>45929</v>
      </c>
      <c r="D58" t="s">
        <v>119</v>
      </c>
      <c r="F58" t="s">
        <v>103</v>
      </c>
    </row>
    <row r="59" spans="1:7" ht="15" customHeight="1" x14ac:dyDescent="0.25">
      <c r="A59" t="s">
        <v>121</v>
      </c>
      <c r="B59" s="3">
        <v>45931</v>
      </c>
      <c r="D59" t="s">
        <v>125</v>
      </c>
      <c r="F59" t="s">
        <v>100</v>
      </c>
    </row>
    <row r="60" spans="1:7" ht="15" customHeight="1" x14ac:dyDescent="0.25">
      <c r="A60" t="s">
        <v>122</v>
      </c>
      <c r="B60" s="3">
        <v>45931</v>
      </c>
      <c r="D60" t="s">
        <v>125</v>
      </c>
      <c r="F60" t="s">
        <v>100</v>
      </c>
    </row>
    <row r="61" spans="1:7" ht="15" customHeight="1" x14ac:dyDescent="0.25">
      <c r="A61" t="s">
        <v>123</v>
      </c>
      <c r="B61" s="3">
        <v>45931</v>
      </c>
      <c r="D61" t="s">
        <v>125</v>
      </c>
      <c r="F61" t="s">
        <v>100</v>
      </c>
    </row>
    <row r="62" spans="1:7" ht="15" customHeight="1" x14ac:dyDescent="0.25">
      <c r="A62" t="s">
        <v>124</v>
      </c>
      <c r="B62" s="3">
        <v>45931</v>
      </c>
      <c r="D62" t="s">
        <v>125</v>
      </c>
      <c r="F62" t="s">
        <v>100</v>
      </c>
    </row>
    <row r="63" spans="1:7" ht="15" customHeight="1" x14ac:dyDescent="0.25">
      <c r="A63" t="s">
        <v>126</v>
      </c>
      <c r="B63" s="3">
        <v>45929</v>
      </c>
      <c r="D63" t="s">
        <v>127</v>
      </c>
      <c r="F63" t="s">
        <v>103</v>
      </c>
    </row>
    <row r="64" spans="1:7" ht="15" customHeight="1" x14ac:dyDescent="0.25">
      <c r="A64" t="s">
        <v>107</v>
      </c>
      <c r="B64" s="3">
        <v>45931</v>
      </c>
      <c r="D64" t="s">
        <v>74</v>
      </c>
      <c r="F64" t="s">
        <v>103</v>
      </c>
    </row>
    <row r="65" spans="1:6" ht="15" customHeight="1" x14ac:dyDescent="0.25">
      <c r="A65" t="s">
        <v>120</v>
      </c>
      <c r="B65" s="3">
        <v>45932</v>
      </c>
      <c r="D65" t="s">
        <v>129</v>
      </c>
      <c r="F65" t="s">
        <v>103</v>
      </c>
    </row>
    <row r="66" spans="1:6" ht="15" customHeight="1" x14ac:dyDescent="0.25">
      <c r="A66" t="s">
        <v>130</v>
      </c>
      <c r="B66" s="3">
        <v>45937</v>
      </c>
      <c r="D66" t="s">
        <v>129</v>
      </c>
      <c r="F66" t="s">
        <v>131</v>
      </c>
    </row>
    <row r="67" spans="1:6" ht="15" customHeight="1" x14ac:dyDescent="0.25">
      <c r="A67" t="s">
        <v>132</v>
      </c>
      <c r="B67" s="3">
        <v>45939</v>
      </c>
      <c r="D67" t="s">
        <v>133</v>
      </c>
      <c r="F67" t="s">
        <v>103</v>
      </c>
    </row>
    <row r="68" spans="1:6" ht="15" customHeight="1" x14ac:dyDescent="0.25">
      <c r="A68" t="s">
        <v>134</v>
      </c>
      <c r="B68" s="3">
        <v>45939</v>
      </c>
      <c r="D68" t="s">
        <v>74</v>
      </c>
      <c r="F68" t="s">
        <v>103</v>
      </c>
    </row>
    <row r="69" spans="1:6" ht="15" customHeight="1" x14ac:dyDescent="0.25">
      <c r="A69" t="s">
        <v>135</v>
      </c>
      <c r="B69" s="3">
        <v>45939</v>
      </c>
      <c r="D69" t="s">
        <v>129</v>
      </c>
      <c r="F69" t="s">
        <v>131</v>
      </c>
    </row>
    <row r="70" spans="1:6" ht="15" customHeight="1" x14ac:dyDescent="0.25">
      <c r="A70" t="s">
        <v>138</v>
      </c>
      <c r="B70" s="3">
        <v>45950</v>
      </c>
      <c r="D70" t="s">
        <v>136</v>
      </c>
      <c r="F70" t="s">
        <v>100</v>
      </c>
    </row>
    <row r="71" spans="1:6" ht="15" customHeight="1" x14ac:dyDescent="0.25">
      <c r="A71" t="s">
        <v>128</v>
      </c>
      <c r="B71" s="3">
        <v>45945</v>
      </c>
      <c r="D71" t="s">
        <v>141</v>
      </c>
      <c r="F71" t="s">
        <v>100</v>
      </c>
    </row>
    <row r="72" spans="1:6" ht="15" customHeight="1" x14ac:dyDescent="0.25">
      <c r="A72" t="s">
        <v>142</v>
      </c>
      <c r="B72" s="3">
        <v>45940</v>
      </c>
      <c r="D72" t="s">
        <v>145</v>
      </c>
      <c r="F72" t="s">
        <v>117</v>
      </c>
    </row>
    <row r="73" spans="1:6" ht="15" customHeight="1" x14ac:dyDescent="0.25">
      <c r="A73" t="s">
        <v>143</v>
      </c>
      <c r="B73" s="3">
        <v>45940</v>
      </c>
      <c r="D73" t="s">
        <v>144</v>
      </c>
      <c r="F73" t="s">
        <v>117</v>
      </c>
    </row>
    <row r="74" spans="1:6" ht="15" customHeight="1" x14ac:dyDescent="0.25">
      <c r="A74" t="s">
        <v>146</v>
      </c>
      <c r="B74" s="3">
        <v>45946</v>
      </c>
      <c r="D74" t="s">
        <v>136</v>
      </c>
      <c r="F74" t="s">
        <v>103</v>
      </c>
    </row>
    <row r="75" spans="1:6" ht="15" customHeight="1" x14ac:dyDescent="0.25">
      <c r="A75" t="s">
        <v>147</v>
      </c>
      <c r="B75" s="3">
        <v>45951</v>
      </c>
      <c r="D75" t="s">
        <v>148</v>
      </c>
      <c r="F75" t="s">
        <v>103</v>
      </c>
    </row>
    <row r="76" spans="1:6" ht="15" customHeight="1" x14ac:dyDescent="0.25">
      <c r="A76" t="s">
        <v>159</v>
      </c>
      <c r="B76" s="3">
        <v>45964</v>
      </c>
      <c r="D76" t="s">
        <v>160</v>
      </c>
      <c r="F76" t="s">
        <v>100</v>
      </c>
    </row>
    <row r="77" spans="1:6" ht="15" customHeight="1" x14ac:dyDescent="0.25">
      <c r="A77" t="s">
        <v>161</v>
      </c>
      <c r="B77" s="3">
        <v>45964</v>
      </c>
      <c r="D77" t="s">
        <v>160</v>
      </c>
      <c r="F77" t="s">
        <v>100</v>
      </c>
    </row>
    <row r="78" spans="1:6" ht="15" customHeight="1" x14ac:dyDescent="0.25">
      <c r="A78" t="s">
        <v>162</v>
      </c>
      <c r="B78" s="3">
        <v>45961</v>
      </c>
      <c r="D78" t="s">
        <v>163</v>
      </c>
      <c r="F78" t="s">
        <v>100</v>
      </c>
    </row>
    <row r="79" spans="1:6" ht="15" customHeight="1" x14ac:dyDescent="0.25">
      <c r="A79" t="s">
        <v>164</v>
      </c>
      <c r="B79" s="3">
        <v>45964</v>
      </c>
      <c r="D79" t="s">
        <v>165</v>
      </c>
      <c r="F79" t="s">
        <v>100</v>
      </c>
    </row>
    <row r="80" spans="1:6" ht="15" customHeight="1" x14ac:dyDescent="0.25">
      <c r="A80" t="s">
        <v>137</v>
      </c>
      <c r="B80" s="3">
        <v>45952</v>
      </c>
      <c r="D80" t="s">
        <v>166</v>
      </c>
      <c r="F80" t="s">
        <v>100</v>
      </c>
    </row>
    <row r="81" spans="1:6" ht="15" customHeight="1" x14ac:dyDescent="0.25">
      <c r="A81" t="s">
        <v>139</v>
      </c>
      <c r="B81" s="3">
        <v>45952</v>
      </c>
      <c r="D81" t="s">
        <v>167</v>
      </c>
      <c r="F81" t="s">
        <v>100</v>
      </c>
    </row>
    <row r="82" spans="1:6" ht="15" customHeight="1" x14ac:dyDescent="0.25">
      <c r="A82" t="s">
        <v>168</v>
      </c>
      <c r="B82" s="3">
        <v>45950</v>
      </c>
      <c r="D82" t="s">
        <v>169</v>
      </c>
      <c r="F82" t="s">
        <v>100</v>
      </c>
    </row>
    <row r="83" spans="1:6" ht="15" customHeight="1" x14ac:dyDescent="0.25">
      <c r="A83" t="s">
        <v>170</v>
      </c>
      <c r="B83" s="3">
        <v>45950</v>
      </c>
      <c r="D83" t="s">
        <v>171</v>
      </c>
      <c r="F83" t="s">
        <v>100</v>
      </c>
    </row>
    <row r="84" spans="1:6" ht="15" customHeight="1" x14ac:dyDescent="0.25">
      <c r="A84" t="s">
        <v>149</v>
      </c>
      <c r="B84" s="3">
        <v>45951</v>
      </c>
      <c r="D84" t="s">
        <v>172</v>
      </c>
      <c r="F84" t="s">
        <v>100</v>
      </c>
    </row>
    <row r="85" spans="1:6" ht="15" customHeight="1" x14ac:dyDescent="0.25">
      <c r="A85" t="s">
        <v>173</v>
      </c>
      <c r="B85" s="3">
        <v>45946</v>
      </c>
      <c r="D85" t="s">
        <v>174</v>
      </c>
      <c r="F85" t="s">
        <v>103</v>
      </c>
    </row>
    <row r="86" spans="1:6" ht="15" customHeight="1" x14ac:dyDescent="0.25">
      <c r="A86" t="s">
        <v>175</v>
      </c>
      <c r="B86" s="3">
        <v>45950</v>
      </c>
      <c r="D86" t="s">
        <v>176</v>
      </c>
      <c r="F86" t="s">
        <v>100</v>
      </c>
    </row>
    <row r="87" spans="1:6" ht="15" customHeight="1" x14ac:dyDescent="0.25">
      <c r="A87" t="s">
        <v>177</v>
      </c>
      <c r="B87" s="3">
        <v>45946</v>
      </c>
      <c r="D87" t="s">
        <v>174</v>
      </c>
      <c r="F87" t="s">
        <v>103</v>
      </c>
    </row>
    <row r="88" spans="1:6" ht="15" customHeight="1" x14ac:dyDescent="0.25">
      <c r="A88" t="s">
        <v>178</v>
      </c>
      <c r="B88" s="3">
        <v>45946</v>
      </c>
      <c r="D88" t="s">
        <v>174</v>
      </c>
      <c r="F88" t="s">
        <v>103</v>
      </c>
    </row>
    <row r="89" spans="1:6" ht="15" customHeight="1" x14ac:dyDescent="0.25">
      <c r="A89" t="s">
        <v>179</v>
      </c>
      <c r="B89" s="3">
        <v>45946</v>
      </c>
      <c r="D89" t="s">
        <v>174</v>
      </c>
      <c r="F89" t="s">
        <v>103</v>
      </c>
    </row>
    <row r="90" spans="1:6" ht="15" customHeight="1" x14ac:dyDescent="0.25">
      <c r="A90" t="s">
        <v>180</v>
      </c>
      <c r="B90" s="3">
        <v>45946</v>
      </c>
      <c r="D90" t="s">
        <v>174</v>
      </c>
      <c r="F90" t="s">
        <v>103</v>
      </c>
    </row>
    <row r="91" spans="1:6" ht="15" customHeight="1" x14ac:dyDescent="0.25">
      <c r="A91" t="s">
        <v>181</v>
      </c>
      <c r="B91" s="3">
        <v>45946</v>
      </c>
      <c r="D91" t="s">
        <v>174</v>
      </c>
      <c r="F91" t="s">
        <v>103</v>
      </c>
    </row>
    <row r="92" spans="1:6" ht="15" customHeight="1" x14ac:dyDescent="0.25">
      <c r="A92" t="s">
        <v>182</v>
      </c>
      <c r="B92" s="3">
        <v>45947</v>
      </c>
      <c r="D92" t="s">
        <v>169</v>
      </c>
      <c r="F92" t="s">
        <v>100</v>
      </c>
    </row>
    <row r="93" spans="1:6" ht="15" customHeight="1" x14ac:dyDescent="0.25">
      <c r="A93" t="s">
        <v>140</v>
      </c>
      <c r="B93" s="3">
        <v>45943</v>
      </c>
      <c r="D93" t="s">
        <v>183</v>
      </c>
      <c r="F93" t="s">
        <v>100</v>
      </c>
    </row>
    <row r="94" spans="1:6" ht="15" customHeight="1" x14ac:dyDescent="0.25">
      <c r="A94" t="s">
        <v>184</v>
      </c>
      <c r="B94" s="3">
        <v>45943</v>
      </c>
      <c r="D94" t="s">
        <v>185</v>
      </c>
      <c r="F94" t="s">
        <v>186</v>
      </c>
    </row>
    <row r="95" spans="1:6" ht="15" customHeight="1" x14ac:dyDescent="0.25">
      <c r="A95" t="s">
        <v>187</v>
      </c>
      <c r="B95" s="3">
        <v>45940</v>
      </c>
      <c r="D95" t="s">
        <v>188</v>
      </c>
      <c r="F95" t="s">
        <v>189</v>
      </c>
    </row>
    <row r="96" spans="1:6" ht="15" customHeight="1" x14ac:dyDescent="0.25">
      <c r="A96" t="s">
        <v>190</v>
      </c>
      <c r="B96" s="3">
        <v>45939</v>
      </c>
      <c r="D96" t="s">
        <v>191</v>
      </c>
      <c r="F96" t="s">
        <v>192</v>
      </c>
    </row>
    <row r="97" spans="1:6" ht="15" customHeight="1" x14ac:dyDescent="0.25">
      <c r="A97" t="s">
        <v>193</v>
      </c>
      <c r="B97" s="3">
        <v>45939</v>
      </c>
      <c r="D97" t="s">
        <v>194</v>
      </c>
      <c r="F97" t="s">
        <v>195</v>
      </c>
    </row>
    <row r="98" spans="1:6" ht="15" customHeight="1" x14ac:dyDescent="0.25">
      <c r="A98" t="s">
        <v>196</v>
      </c>
      <c r="B98" s="3">
        <v>45940</v>
      </c>
      <c r="D98" t="s">
        <v>197</v>
      </c>
      <c r="F98" t="s">
        <v>186</v>
      </c>
    </row>
    <row r="99" spans="1:6" ht="15" customHeight="1" x14ac:dyDescent="0.25">
      <c r="A99" t="s">
        <v>198</v>
      </c>
      <c r="B99" s="3">
        <v>45961</v>
      </c>
      <c r="D99" t="s">
        <v>199</v>
      </c>
      <c r="F99" t="s">
        <v>103</v>
      </c>
    </row>
    <row r="100" spans="1:6" ht="15" customHeight="1" x14ac:dyDescent="0.25">
      <c r="A100" t="s">
        <v>201</v>
      </c>
      <c r="B100" s="3">
        <v>45960</v>
      </c>
      <c r="D100" t="s">
        <v>129</v>
      </c>
      <c r="F100" t="s">
        <v>100</v>
      </c>
    </row>
    <row r="101" spans="1:6" ht="15" customHeight="1" x14ac:dyDescent="0.25">
      <c r="A101" t="s">
        <v>200</v>
      </c>
      <c r="B101" s="3">
        <v>45971</v>
      </c>
      <c r="D101" t="s">
        <v>129</v>
      </c>
      <c r="F101" t="s">
        <v>103</v>
      </c>
    </row>
    <row r="102" spans="1:6" ht="15" customHeight="1" x14ac:dyDescent="0.25">
      <c r="A102" t="s">
        <v>202</v>
      </c>
      <c r="B102" s="3">
        <v>45979</v>
      </c>
      <c r="D102" s="2" t="s">
        <v>203</v>
      </c>
      <c r="F102" t="s">
        <v>100</v>
      </c>
    </row>
    <row r="103" spans="1:6" ht="15" customHeight="1" x14ac:dyDescent="0.25">
      <c r="A103" t="s">
        <v>204</v>
      </c>
      <c r="B103" s="3">
        <v>45982</v>
      </c>
      <c r="D103" t="s">
        <v>205</v>
      </c>
      <c r="F103" t="s">
        <v>186</v>
      </c>
    </row>
  </sheetData>
  <autoFilter ref="A1:D99" xr:uid="{00000000-0009-0000-0000-000000000000}"/>
  <pageMargins left="0.7" right="0.7" top="0.75" bottom="0.75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85549-0E80-4F97-95AA-FF34889F39A4}">
  <dimension ref="A1:B108"/>
  <sheetViews>
    <sheetView workbookViewId="0">
      <selection activeCell="B98" sqref="B98"/>
    </sheetView>
  </sheetViews>
  <sheetFormatPr defaultRowHeight="15" x14ac:dyDescent="0.25"/>
  <cols>
    <col min="1" max="1" width="21.42578125" bestFit="1" customWidth="1"/>
    <col min="2" max="2" width="9.140625" customWidth="1"/>
  </cols>
  <sheetData>
    <row r="1" spans="1:2" x14ac:dyDescent="0.25">
      <c r="A1" t="s">
        <v>0</v>
      </c>
    </row>
    <row r="2" spans="1:2" x14ac:dyDescent="0.25">
      <c r="A2" t="s">
        <v>4</v>
      </c>
      <c r="B2">
        <f>COUNTIF($A$2:$A$108,A2)</f>
        <v>1</v>
      </c>
    </row>
    <row r="3" spans="1:2" x14ac:dyDescent="0.25">
      <c r="A3" t="s">
        <v>5</v>
      </c>
      <c r="B3">
        <f t="shared" ref="B3:B66" si="0">COUNTIF($A$2:$A$108,A3)</f>
        <v>1</v>
      </c>
    </row>
    <row r="4" spans="1:2" x14ac:dyDescent="0.25">
      <c r="A4" t="s">
        <v>7</v>
      </c>
      <c r="B4">
        <f t="shared" si="0"/>
        <v>1</v>
      </c>
    </row>
    <row r="5" spans="1:2" x14ac:dyDescent="0.25">
      <c r="A5" t="s">
        <v>9</v>
      </c>
      <c r="B5">
        <f t="shared" si="0"/>
        <v>1</v>
      </c>
    </row>
    <row r="6" spans="1:2" x14ac:dyDescent="0.25">
      <c r="A6" t="s">
        <v>11</v>
      </c>
      <c r="B6">
        <f t="shared" si="0"/>
        <v>1</v>
      </c>
    </row>
    <row r="7" spans="1:2" x14ac:dyDescent="0.25">
      <c r="A7" t="s">
        <v>13</v>
      </c>
      <c r="B7">
        <f t="shared" si="0"/>
        <v>1</v>
      </c>
    </row>
    <row r="8" spans="1:2" x14ac:dyDescent="0.25">
      <c r="A8" t="s">
        <v>15</v>
      </c>
      <c r="B8">
        <f t="shared" si="0"/>
        <v>1</v>
      </c>
    </row>
    <row r="9" spans="1:2" x14ac:dyDescent="0.25">
      <c r="A9" t="s">
        <v>17</v>
      </c>
      <c r="B9">
        <f t="shared" si="0"/>
        <v>1</v>
      </c>
    </row>
    <row r="10" spans="1:2" x14ac:dyDescent="0.25">
      <c r="A10" t="s">
        <v>18</v>
      </c>
      <c r="B10">
        <f t="shared" si="0"/>
        <v>1</v>
      </c>
    </row>
    <row r="11" spans="1:2" x14ac:dyDescent="0.25">
      <c r="A11" t="s">
        <v>20</v>
      </c>
      <c r="B11">
        <f t="shared" si="0"/>
        <v>1</v>
      </c>
    </row>
    <row r="12" spans="1:2" x14ac:dyDescent="0.25">
      <c r="A12" t="s">
        <v>22</v>
      </c>
      <c r="B12">
        <f t="shared" si="0"/>
        <v>1</v>
      </c>
    </row>
    <row r="13" spans="1:2" x14ac:dyDescent="0.25">
      <c r="A13" t="s">
        <v>23</v>
      </c>
      <c r="B13">
        <f t="shared" si="0"/>
        <v>1</v>
      </c>
    </row>
    <row r="14" spans="1:2" x14ac:dyDescent="0.25">
      <c r="A14" t="s">
        <v>24</v>
      </c>
      <c r="B14">
        <f t="shared" si="0"/>
        <v>1</v>
      </c>
    </row>
    <row r="15" spans="1:2" x14ac:dyDescent="0.25">
      <c r="A15" t="s">
        <v>25</v>
      </c>
      <c r="B15">
        <f t="shared" si="0"/>
        <v>1</v>
      </c>
    </row>
    <row r="16" spans="1:2" x14ac:dyDescent="0.25">
      <c r="A16" t="s">
        <v>27</v>
      </c>
      <c r="B16">
        <f t="shared" si="0"/>
        <v>1</v>
      </c>
    </row>
    <row r="17" spans="1:2" x14ac:dyDescent="0.25">
      <c r="A17" t="s">
        <v>29</v>
      </c>
      <c r="B17">
        <f t="shared" si="0"/>
        <v>1</v>
      </c>
    </row>
    <row r="18" spans="1:2" x14ac:dyDescent="0.25">
      <c r="A18" t="s">
        <v>31</v>
      </c>
      <c r="B18">
        <f t="shared" si="0"/>
        <v>1</v>
      </c>
    </row>
    <row r="19" spans="1:2" x14ac:dyDescent="0.25">
      <c r="A19" s="2" t="s">
        <v>32</v>
      </c>
      <c r="B19">
        <f t="shared" si="0"/>
        <v>1</v>
      </c>
    </row>
    <row r="20" spans="1:2" x14ac:dyDescent="0.25">
      <c r="A20" t="s">
        <v>34</v>
      </c>
      <c r="B20">
        <f t="shared" si="0"/>
        <v>1</v>
      </c>
    </row>
    <row r="21" spans="1:2" x14ac:dyDescent="0.25">
      <c r="A21" t="s">
        <v>36</v>
      </c>
      <c r="B21">
        <f t="shared" si="0"/>
        <v>1</v>
      </c>
    </row>
    <row r="22" spans="1:2" x14ac:dyDescent="0.25">
      <c r="A22" t="s">
        <v>38</v>
      </c>
      <c r="B22">
        <f t="shared" si="0"/>
        <v>1</v>
      </c>
    </row>
    <row r="23" spans="1:2" x14ac:dyDescent="0.25">
      <c r="A23" t="s">
        <v>40</v>
      </c>
      <c r="B23">
        <f t="shared" si="0"/>
        <v>1</v>
      </c>
    </row>
    <row r="24" spans="1:2" x14ac:dyDescent="0.25">
      <c r="A24" t="s">
        <v>41</v>
      </c>
      <c r="B24">
        <f t="shared" si="0"/>
        <v>1</v>
      </c>
    </row>
    <row r="25" spans="1:2" x14ac:dyDescent="0.25">
      <c r="A25" t="s">
        <v>43</v>
      </c>
      <c r="B25">
        <f t="shared" si="0"/>
        <v>1</v>
      </c>
    </row>
    <row r="26" spans="1:2" x14ac:dyDescent="0.25">
      <c r="A26" t="s">
        <v>45</v>
      </c>
      <c r="B26">
        <f t="shared" si="0"/>
        <v>1</v>
      </c>
    </row>
    <row r="27" spans="1:2" x14ac:dyDescent="0.25">
      <c r="A27" t="s">
        <v>47</v>
      </c>
      <c r="B27">
        <f t="shared" si="0"/>
        <v>1</v>
      </c>
    </row>
    <row r="28" spans="1:2" x14ac:dyDescent="0.25">
      <c r="A28" t="s">
        <v>49</v>
      </c>
      <c r="B28">
        <f t="shared" si="0"/>
        <v>1</v>
      </c>
    </row>
    <row r="29" spans="1:2" x14ac:dyDescent="0.25">
      <c r="A29" t="s">
        <v>51</v>
      </c>
      <c r="B29">
        <f t="shared" si="0"/>
        <v>1</v>
      </c>
    </row>
    <row r="30" spans="1:2" x14ac:dyDescent="0.25">
      <c r="A30" t="s">
        <v>53</v>
      </c>
      <c r="B30">
        <f t="shared" si="0"/>
        <v>1</v>
      </c>
    </row>
    <row r="31" spans="1:2" x14ac:dyDescent="0.25">
      <c r="A31" t="s">
        <v>55</v>
      </c>
      <c r="B31">
        <f t="shared" si="0"/>
        <v>1</v>
      </c>
    </row>
    <row r="32" spans="1:2" x14ac:dyDescent="0.25">
      <c r="A32" t="s">
        <v>57</v>
      </c>
      <c r="B32">
        <f t="shared" si="0"/>
        <v>1</v>
      </c>
    </row>
    <row r="33" spans="1:2" x14ac:dyDescent="0.25">
      <c r="A33" t="s">
        <v>59</v>
      </c>
      <c r="B33">
        <f t="shared" si="0"/>
        <v>1</v>
      </c>
    </row>
    <row r="34" spans="1:2" x14ac:dyDescent="0.25">
      <c r="A34" t="s">
        <v>61</v>
      </c>
      <c r="B34">
        <f t="shared" si="0"/>
        <v>1</v>
      </c>
    </row>
    <row r="35" spans="1:2" x14ac:dyDescent="0.25">
      <c r="A35" t="s">
        <v>63</v>
      </c>
      <c r="B35">
        <f t="shared" si="0"/>
        <v>1</v>
      </c>
    </row>
    <row r="36" spans="1:2" x14ac:dyDescent="0.25">
      <c r="A36" t="s">
        <v>65</v>
      </c>
      <c r="B36">
        <f t="shared" si="0"/>
        <v>1</v>
      </c>
    </row>
    <row r="37" spans="1:2" x14ac:dyDescent="0.25">
      <c r="A37" t="s">
        <v>67</v>
      </c>
      <c r="B37">
        <f t="shared" si="0"/>
        <v>1</v>
      </c>
    </row>
    <row r="38" spans="1:2" x14ac:dyDescent="0.25">
      <c r="A38" t="s">
        <v>69</v>
      </c>
      <c r="B38">
        <f t="shared" si="0"/>
        <v>1</v>
      </c>
    </row>
    <row r="39" spans="1:2" x14ac:dyDescent="0.25">
      <c r="A39" t="s">
        <v>70</v>
      </c>
      <c r="B39">
        <f t="shared" si="0"/>
        <v>1</v>
      </c>
    </row>
    <row r="40" spans="1:2" x14ac:dyDescent="0.25">
      <c r="A40" t="s">
        <v>71</v>
      </c>
      <c r="B40">
        <f t="shared" si="0"/>
        <v>1</v>
      </c>
    </row>
    <row r="41" spans="1:2" x14ac:dyDescent="0.25">
      <c r="A41" t="s">
        <v>73</v>
      </c>
      <c r="B41">
        <f t="shared" si="0"/>
        <v>1</v>
      </c>
    </row>
    <row r="42" spans="1:2" x14ac:dyDescent="0.25">
      <c r="A42" t="s">
        <v>75</v>
      </c>
      <c r="B42">
        <f t="shared" si="0"/>
        <v>1</v>
      </c>
    </row>
    <row r="43" spans="1:2" x14ac:dyDescent="0.25">
      <c r="A43" t="s">
        <v>77</v>
      </c>
      <c r="B43">
        <f t="shared" si="0"/>
        <v>1</v>
      </c>
    </row>
    <row r="44" spans="1:2" x14ac:dyDescent="0.25">
      <c r="A44" t="s">
        <v>79</v>
      </c>
      <c r="B44">
        <f t="shared" si="0"/>
        <v>1</v>
      </c>
    </row>
    <row r="45" spans="1:2" x14ac:dyDescent="0.25">
      <c r="A45" t="s">
        <v>84</v>
      </c>
      <c r="B45">
        <f t="shared" si="0"/>
        <v>1</v>
      </c>
    </row>
    <row r="46" spans="1:2" x14ac:dyDescent="0.25">
      <c r="A46" t="s">
        <v>85</v>
      </c>
      <c r="B46">
        <f t="shared" si="0"/>
        <v>1</v>
      </c>
    </row>
    <row r="47" spans="1:2" x14ac:dyDescent="0.25">
      <c r="A47" t="s">
        <v>87</v>
      </c>
      <c r="B47">
        <f t="shared" si="0"/>
        <v>1</v>
      </c>
    </row>
    <row r="48" spans="1:2" x14ac:dyDescent="0.25">
      <c r="A48" t="s">
        <v>88</v>
      </c>
      <c r="B48">
        <f t="shared" si="0"/>
        <v>1</v>
      </c>
    </row>
    <row r="49" spans="1:2" x14ac:dyDescent="0.25">
      <c r="A49" t="s">
        <v>89</v>
      </c>
      <c r="B49">
        <f t="shared" si="0"/>
        <v>1</v>
      </c>
    </row>
    <row r="50" spans="1:2" x14ac:dyDescent="0.25">
      <c r="A50" t="s">
        <v>98</v>
      </c>
      <c r="B50">
        <f t="shared" si="0"/>
        <v>1</v>
      </c>
    </row>
    <row r="51" spans="1:2" x14ac:dyDescent="0.25">
      <c r="A51" t="s">
        <v>101</v>
      </c>
      <c r="B51">
        <f t="shared" si="0"/>
        <v>1</v>
      </c>
    </row>
    <row r="52" spans="1:2" x14ac:dyDescent="0.25">
      <c r="A52" t="s">
        <v>104</v>
      </c>
      <c r="B52">
        <f t="shared" si="0"/>
        <v>1</v>
      </c>
    </row>
    <row r="53" spans="1:2" x14ac:dyDescent="0.25">
      <c r="A53" t="s">
        <v>108</v>
      </c>
      <c r="B53">
        <f t="shared" si="0"/>
        <v>1</v>
      </c>
    </row>
    <row r="54" spans="1:2" x14ac:dyDescent="0.25">
      <c r="A54" t="s">
        <v>110</v>
      </c>
      <c r="B54">
        <f t="shared" si="0"/>
        <v>1</v>
      </c>
    </row>
    <row r="55" spans="1:2" x14ac:dyDescent="0.25">
      <c r="A55" t="s">
        <v>112</v>
      </c>
      <c r="B55">
        <f t="shared" si="0"/>
        <v>1</v>
      </c>
    </row>
    <row r="56" spans="1:2" x14ac:dyDescent="0.25">
      <c r="A56" t="s">
        <v>113</v>
      </c>
      <c r="B56">
        <f t="shared" si="0"/>
        <v>1</v>
      </c>
    </row>
    <row r="57" spans="1:2" x14ac:dyDescent="0.25">
      <c r="A57" t="s">
        <v>115</v>
      </c>
      <c r="B57">
        <f t="shared" si="0"/>
        <v>1</v>
      </c>
    </row>
    <row r="58" spans="1:2" x14ac:dyDescent="0.25">
      <c r="A58" t="s">
        <v>118</v>
      </c>
      <c r="B58">
        <f t="shared" si="0"/>
        <v>1</v>
      </c>
    </row>
    <row r="59" spans="1:2" x14ac:dyDescent="0.25">
      <c r="A59" t="s">
        <v>121</v>
      </c>
      <c r="B59">
        <f t="shared" si="0"/>
        <v>1</v>
      </c>
    </row>
    <row r="60" spans="1:2" x14ac:dyDescent="0.25">
      <c r="A60" t="s">
        <v>122</v>
      </c>
      <c r="B60">
        <f t="shared" si="0"/>
        <v>1</v>
      </c>
    </row>
    <row r="61" spans="1:2" x14ac:dyDescent="0.25">
      <c r="A61" t="s">
        <v>123</v>
      </c>
      <c r="B61">
        <f t="shared" si="0"/>
        <v>1</v>
      </c>
    </row>
    <row r="62" spans="1:2" x14ac:dyDescent="0.25">
      <c r="A62" t="s">
        <v>124</v>
      </c>
      <c r="B62">
        <f t="shared" si="0"/>
        <v>1</v>
      </c>
    </row>
    <row r="63" spans="1:2" x14ac:dyDescent="0.25">
      <c r="A63" t="s">
        <v>126</v>
      </c>
      <c r="B63">
        <f t="shared" si="0"/>
        <v>1</v>
      </c>
    </row>
    <row r="64" spans="1:2" x14ac:dyDescent="0.25">
      <c r="A64" t="s">
        <v>107</v>
      </c>
      <c r="B64">
        <f t="shared" si="0"/>
        <v>1</v>
      </c>
    </row>
    <row r="65" spans="1:2" x14ac:dyDescent="0.25">
      <c r="A65" t="s">
        <v>120</v>
      </c>
      <c r="B65">
        <f t="shared" si="0"/>
        <v>1</v>
      </c>
    </row>
    <row r="66" spans="1:2" x14ac:dyDescent="0.25">
      <c r="A66" t="s">
        <v>130</v>
      </c>
      <c r="B66">
        <f t="shared" si="0"/>
        <v>1</v>
      </c>
    </row>
    <row r="67" spans="1:2" x14ac:dyDescent="0.25">
      <c r="A67" t="s">
        <v>132</v>
      </c>
      <c r="B67">
        <f t="shared" ref="B67:B108" si="1">COUNTIF($A$2:$A$108,A67)</f>
        <v>1</v>
      </c>
    </row>
    <row r="68" spans="1:2" x14ac:dyDescent="0.25">
      <c r="A68" t="s">
        <v>134</v>
      </c>
      <c r="B68">
        <f t="shared" si="1"/>
        <v>1</v>
      </c>
    </row>
    <row r="69" spans="1:2" x14ac:dyDescent="0.25">
      <c r="A69" t="s">
        <v>135</v>
      </c>
      <c r="B69">
        <f t="shared" si="1"/>
        <v>1</v>
      </c>
    </row>
    <row r="70" spans="1:2" x14ac:dyDescent="0.25">
      <c r="A70" t="s">
        <v>137</v>
      </c>
      <c r="B70">
        <f t="shared" si="1"/>
        <v>2</v>
      </c>
    </row>
    <row r="71" spans="1:2" x14ac:dyDescent="0.25">
      <c r="A71" t="s">
        <v>138</v>
      </c>
      <c r="B71">
        <f t="shared" si="1"/>
        <v>2</v>
      </c>
    </row>
    <row r="72" spans="1:2" x14ac:dyDescent="0.25">
      <c r="A72" t="s">
        <v>139</v>
      </c>
      <c r="B72">
        <f t="shared" si="1"/>
        <v>2</v>
      </c>
    </row>
    <row r="73" spans="1:2" x14ac:dyDescent="0.25">
      <c r="A73" t="s">
        <v>140</v>
      </c>
      <c r="B73">
        <f t="shared" si="1"/>
        <v>2</v>
      </c>
    </row>
    <row r="74" spans="1:2" x14ac:dyDescent="0.25">
      <c r="A74" t="s">
        <v>128</v>
      </c>
      <c r="B74">
        <f t="shared" si="1"/>
        <v>4</v>
      </c>
    </row>
    <row r="75" spans="1:2" x14ac:dyDescent="0.25">
      <c r="A75" t="s">
        <v>142</v>
      </c>
      <c r="B75">
        <f t="shared" si="1"/>
        <v>1</v>
      </c>
    </row>
    <row r="76" spans="1:2" x14ac:dyDescent="0.25">
      <c r="A76" t="s">
        <v>143</v>
      </c>
      <c r="B76">
        <f t="shared" si="1"/>
        <v>1</v>
      </c>
    </row>
    <row r="77" spans="1:2" x14ac:dyDescent="0.25">
      <c r="A77" t="s">
        <v>146</v>
      </c>
      <c r="B77">
        <f t="shared" si="1"/>
        <v>1</v>
      </c>
    </row>
    <row r="78" spans="1:2" x14ac:dyDescent="0.25">
      <c r="A78" t="s">
        <v>147</v>
      </c>
      <c r="B78">
        <f t="shared" si="1"/>
        <v>2</v>
      </c>
    </row>
    <row r="79" spans="1:2" x14ac:dyDescent="0.25">
      <c r="A79" t="s">
        <v>149</v>
      </c>
      <c r="B79">
        <f t="shared" si="1"/>
        <v>2</v>
      </c>
    </row>
    <row r="80" spans="1:2" x14ac:dyDescent="0.25">
      <c r="A80" t="s">
        <v>159</v>
      </c>
      <c r="B80">
        <f t="shared" si="1"/>
        <v>1</v>
      </c>
    </row>
    <row r="81" spans="1:2" x14ac:dyDescent="0.25">
      <c r="A81" t="s">
        <v>161</v>
      </c>
      <c r="B81">
        <f t="shared" si="1"/>
        <v>1</v>
      </c>
    </row>
    <row r="82" spans="1:2" x14ac:dyDescent="0.25">
      <c r="A82" t="s">
        <v>162</v>
      </c>
      <c r="B82">
        <f t="shared" si="1"/>
        <v>1</v>
      </c>
    </row>
    <row r="83" spans="1:2" x14ac:dyDescent="0.25">
      <c r="A83" t="s">
        <v>164</v>
      </c>
      <c r="B83">
        <f t="shared" si="1"/>
        <v>1</v>
      </c>
    </row>
    <row r="84" spans="1:2" x14ac:dyDescent="0.25">
      <c r="A84" t="s">
        <v>137</v>
      </c>
      <c r="B84">
        <f t="shared" si="1"/>
        <v>2</v>
      </c>
    </row>
    <row r="85" spans="1:2" x14ac:dyDescent="0.25">
      <c r="A85" t="s">
        <v>139</v>
      </c>
      <c r="B85">
        <f t="shared" si="1"/>
        <v>2</v>
      </c>
    </row>
    <row r="86" spans="1:2" x14ac:dyDescent="0.25">
      <c r="A86" t="s">
        <v>138</v>
      </c>
      <c r="B86">
        <f t="shared" si="1"/>
        <v>2</v>
      </c>
    </row>
    <row r="87" spans="1:2" x14ac:dyDescent="0.25">
      <c r="A87" t="s">
        <v>168</v>
      </c>
      <c r="B87">
        <f t="shared" si="1"/>
        <v>1</v>
      </c>
    </row>
    <row r="88" spans="1:2" x14ac:dyDescent="0.25">
      <c r="A88" t="s">
        <v>170</v>
      </c>
      <c r="B88">
        <f t="shared" si="1"/>
        <v>1</v>
      </c>
    </row>
    <row r="89" spans="1:2" x14ac:dyDescent="0.25">
      <c r="A89" t="s">
        <v>149</v>
      </c>
      <c r="B89">
        <f t="shared" si="1"/>
        <v>2</v>
      </c>
    </row>
    <row r="90" spans="1:2" x14ac:dyDescent="0.25">
      <c r="A90" t="s">
        <v>173</v>
      </c>
      <c r="B90">
        <f t="shared" si="1"/>
        <v>1</v>
      </c>
    </row>
    <row r="91" spans="1:2" x14ac:dyDescent="0.25">
      <c r="A91" t="s">
        <v>147</v>
      </c>
      <c r="B91">
        <f t="shared" si="1"/>
        <v>2</v>
      </c>
    </row>
    <row r="92" spans="1:2" x14ac:dyDescent="0.25">
      <c r="A92" t="s">
        <v>175</v>
      </c>
      <c r="B92">
        <f t="shared" si="1"/>
        <v>1</v>
      </c>
    </row>
    <row r="93" spans="1:2" x14ac:dyDescent="0.25">
      <c r="A93" t="s">
        <v>177</v>
      </c>
      <c r="B93">
        <f t="shared" si="1"/>
        <v>1</v>
      </c>
    </row>
    <row r="94" spans="1:2" x14ac:dyDescent="0.25">
      <c r="A94" t="s">
        <v>178</v>
      </c>
      <c r="B94">
        <f t="shared" si="1"/>
        <v>1</v>
      </c>
    </row>
    <row r="95" spans="1:2" x14ac:dyDescent="0.25">
      <c r="A95" t="s">
        <v>179</v>
      </c>
      <c r="B95">
        <f t="shared" si="1"/>
        <v>1</v>
      </c>
    </row>
    <row r="96" spans="1:2" x14ac:dyDescent="0.25">
      <c r="A96" t="s">
        <v>180</v>
      </c>
      <c r="B96">
        <f t="shared" si="1"/>
        <v>1</v>
      </c>
    </row>
    <row r="97" spans="1:2" x14ac:dyDescent="0.25">
      <c r="A97" t="s">
        <v>181</v>
      </c>
      <c r="B97">
        <f t="shared" si="1"/>
        <v>1</v>
      </c>
    </row>
    <row r="98" spans="1:2" x14ac:dyDescent="0.25">
      <c r="A98" t="s">
        <v>128</v>
      </c>
      <c r="B98">
        <f t="shared" si="1"/>
        <v>4</v>
      </c>
    </row>
    <row r="99" spans="1:2" x14ac:dyDescent="0.25">
      <c r="A99" t="s">
        <v>182</v>
      </c>
      <c r="B99">
        <f t="shared" si="1"/>
        <v>1</v>
      </c>
    </row>
    <row r="100" spans="1:2" x14ac:dyDescent="0.25">
      <c r="A100" t="s">
        <v>140</v>
      </c>
      <c r="B100">
        <f t="shared" si="1"/>
        <v>2</v>
      </c>
    </row>
    <row r="101" spans="1:2" x14ac:dyDescent="0.25">
      <c r="A101" t="s">
        <v>184</v>
      </c>
      <c r="B101">
        <f t="shared" si="1"/>
        <v>1</v>
      </c>
    </row>
    <row r="102" spans="1:2" x14ac:dyDescent="0.25">
      <c r="A102" t="s">
        <v>187</v>
      </c>
      <c r="B102">
        <f t="shared" si="1"/>
        <v>1</v>
      </c>
    </row>
    <row r="103" spans="1:2" x14ac:dyDescent="0.25">
      <c r="A103" t="s">
        <v>190</v>
      </c>
      <c r="B103">
        <f t="shared" si="1"/>
        <v>1</v>
      </c>
    </row>
    <row r="104" spans="1:2" x14ac:dyDescent="0.25">
      <c r="A104" t="s">
        <v>193</v>
      </c>
      <c r="B104">
        <f t="shared" si="1"/>
        <v>1</v>
      </c>
    </row>
    <row r="105" spans="1:2" x14ac:dyDescent="0.25">
      <c r="A105" t="s">
        <v>128</v>
      </c>
      <c r="B105">
        <f t="shared" si="1"/>
        <v>4</v>
      </c>
    </row>
    <row r="106" spans="1:2" x14ac:dyDescent="0.25">
      <c r="A106" t="s">
        <v>128</v>
      </c>
      <c r="B106">
        <f t="shared" si="1"/>
        <v>4</v>
      </c>
    </row>
    <row r="107" spans="1:2" x14ac:dyDescent="0.25">
      <c r="A107" t="s">
        <v>196</v>
      </c>
      <c r="B107">
        <f t="shared" si="1"/>
        <v>1</v>
      </c>
    </row>
    <row r="108" spans="1:2" x14ac:dyDescent="0.25">
      <c r="A108" t="s">
        <v>198</v>
      </c>
      <c r="B108">
        <f t="shared" si="1"/>
        <v>1</v>
      </c>
    </row>
  </sheetData>
  <autoFilter ref="A1:B108" xr:uid="{C3685549-0E80-4F97-95AA-FF34889F39A4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"/>
  <sheetViews>
    <sheetView zoomScaleNormal="100" workbookViewId="0">
      <selection activeCell="B8" sqref="B8"/>
    </sheetView>
  </sheetViews>
  <sheetFormatPr defaultColWidth="8.7109375" defaultRowHeight="15" customHeight="1" x14ac:dyDescent="0.25"/>
  <cols>
    <col min="1" max="1" width="11.28515625" customWidth="1"/>
    <col min="2" max="2" width="16.7109375" customWidth="1"/>
  </cols>
  <sheetData>
    <row r="1" spans="1:2" x14ac:dyDescent="0.25">
      <c r="A1" t="s">
        <v>80</v>
      </c>
      <c r="B1" t="s">
        <v>81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"/>
  <sheetViews>
    <sheetView zoomScaleNormal="100" workbookViewId="0">
      <selection activeCell="A2" sqref="A2"/>
    </sheetView>
  </sheetViews>
  <sheetFormatPr defaultColWidth="8.7109375" defaultRowHeight="15" customHeight="1" x14ac:dyDescent="0.25"/>
  <cols>
    <col min="1" max="1" width="19.140625" customWidth="1"/>
  </cols>
  <sheetData>
    <row r="1" spans="1:2" x14ac:dyDescent="0.25">
      <c r="A1" t="s">
        <v>0</v>
      </c>
      <c r="B1" t="s">
        <v>82</v>
      </c>
    </row>
    <row r="2" spans="1:2" x14ac:dyDescent="0.25">
      <c r="A2" t="s">
        <v>83</v>
      </c>
      <c r="B2" t="s">
        <v>82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4E624-52C7-4E90-B9DE-77F04E7A5FF9}">
  <dimension ref="A1:B8"/>
  <sheetViews>
    <sheetView workbookViewId="0">
      <selection activeCell="K11" sqref="J11:K11"/>
    </sheetView>
  </sheetViews>
  <sheetFormatPr defaultRowHeight="15" x14ac:dyDescent="0.25"/>
  <sheetData>
    <row r="1" spans="1:2" x14ac:dyDescent="0.25">
      <c r="A1" t="s">
        <v>80</v>
      </c>
      <c r="B1" t="s">
        <v>157</v>
      </c>
    </row>
    <row r="2" spans="1:2" x14ac:dyDescent="0.25">
      <c r="A2" t="s">
        <v>150</v>
      </c>
      <c r="B2" t="s">
        <v>158</v>
      </c>
    </row>
    <row r="3" spans="1:2" x14ac:dyDescent="0.25">
      <c r="A3" t="s">
        <v>151</v>
      </c>
      <c r="B3" t="s">
        <v>158</v>
      </c>
    </row>
    <row r="4" spans="1:2" x14ac:dyDescent="0.25">
      <c r="A4" t="s">
        <v>152</v>
      </c>
      <c r="B4" t="s">
        <v>158</v>
      </c>
    </row>
    <row r="5" spans="1:2" x14ac:dyDescent="0.25">
      <c r="A5" t="s">
        <v>153</v>
      </c>
      <c r="B5" t="s">
        <v>158</v>
      </c>
    </row>
    <row r="6" spans="1:2" x14ac:dyDescent="0.25">
      <c r="A6" t="s">
        <v>154</v>
      </c>
      <c r="B6" t="s">
        <v>158</v>
      </c>
    </row>
    <row r="7" spans="1:2" x14ac:dyDescent="0.25">
      <c r="A7" t="s">
        <v>155</v>
      </c>
      <c r="B7" t="s">
        <v>158</v>
      </c>
    </row>
    <row r="8" spans="1:2" x14ac:dyDescent="0.25">
      <c r="A8" t="s">
        <v>156</v>
      </c>
      <c r="B8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RFM</vt:lpstr>
      <vt:lpstr>Sheet1</vt:lpstr>
      <vt:lpstr>PO</vt:lpstr>
      <vt:lpstr>Urgent</vt:lpstr>
      <vt:lpstr>Urgent PO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Fajar Amry Milhan</dc:creator>
  <dc:description/>
  <cp:lastModifiedBy>Fajar Amry Milhan</cp:lastModifiedBy>
  <cp:revision>12</cp:revision>
  <dcterms:created xsi:type="dcterms:W3CDTF">2015-06-05T18:17:20Z</dcterms:created>
  <dcterms:modified xsi:type="dcterms:W3CDTF">2025-11-21T06:25:16Z</dcterms:modified>
  <dc:language>en-ID</dc:language>
</cp:coreProperties>
</file>